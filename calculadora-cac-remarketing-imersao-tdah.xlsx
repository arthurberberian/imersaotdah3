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 CAC RM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<sst xmlns="http://schemas.openxmlformats.org/spreadsheetml/2006/main" count="58" uniqueCount="57">
  <si>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Calculadora · CAC e orçamento de remarketing — Imersão TDAH</t>
  </si>
  <si>
    <t xml:space="preserve">Inputs em AZUL com fundo amarelo (edite). Cálculos em preto. Base: 17/06/2026.</t>
  </si>
  <si>
    <t xml:space="preserve">Tráfego frio (na janela)</t>
  </si>
  <si>
    <t xml:space="preserve">Visitas de frio na LP</t>
  </si>
  <si>
    <t xml:space="preserve">CPM frio (R$)</t>
  </si>
  <si>
    <t xml:space="preserve">gestor</t>
  </si>
  <si>
    <t xml:space="preserve">CTR (%)</t>
  </si>
  <si>
    <t xml:space="preserve">Carregamento (%)</t>
  </si>
  <si>
    <t xml:space="preserve">Funil — taxas</t>
  </si>
  <si>
    <t xml:space="preserve">Visita → viu preço (%)</t>
  </si>
  <si>
    <t xml:space="preserve">estimar; confirmar evento do Green</t>
  </si>
  <si>
    <t xml:space="preserve">Visita → carrinho (%)</t>
  </si>
  <si>
    <t xml:space="preserve">observado ~3% (225→7)</t>
  </si>
  <si>
    <t xml:space="preserve">Carrinho → checkout (%)</t>
  </si>
  <si>
    <t xml:space="preserve">observado ~2/16</t>
  </si>
  <si>
    <t xml:space="preserve">Checkout → compra (%)</t>
  </si>
  <si>
    <t xml:space="preserve">observado ~1/2 (amostra mínima)</t>
  </si>
  <si>
    <t xml:space="preserve">Economia &amp; remarketing</t>
  </si>
  <si>
    <t xml:space="preserve">Valor por venda — front (R$)</t>
  </si>
  <si>
    <t xml:space="preserve">Teto de CAC (R$)</t>
  </si>
  <si>
    <t xml:space="preserve">front breakeven; back-end é fôlego</t>
  </si>
  <si>
    <t xml:space="preserve">CPM remarketing (R$)</t>
  </si>
  <si>
    <t xml:space="preserve">Frequência alvo</t>
  </si>
  <si>
    <t xml:space="preserve">Recuperação remarketing (%)</t>
  </si>
  <si>
    <t xml:space="preserve">% do carrinho-não-comprou que o rmk recupera</t>
  </si>
  <si>
    <t xml:space="preserve">Tráfego frio — cálculo</t>
  </si>
  <si>
    <t xml:space="preserve">Cliques</t>
  </si>
  <si>
    <t xml:space="preserve">Impressões</t>
  </si>
  <si>
    <t xml:space="preserve">Custo do frio (R$)</t>
  </si>
  <si>
    <t xml:space="preserve">Custo por visita (R$)</t>
  </si>
  <si>
    <t xml:space="preserve">Pools (tamanho)</t>
  </si>
  <si>
    <t xml:space="preserve">Visita LP</t>
  </si>
  <si>
    <t xml:space="preserve">Viu preço</t>
  </si>
  <si>
    <t xml:space="preserve">Carrinho</t>
  </si>
  <si>
    <t xml:space="preserve">Checkout</t>
  </si>
  <si>
    <t xml:space="preserve">Vendas &amp; CAC</t>
  </si>
  <si>
    <t xml:space="preserve">Vendas (frio)</t>
  </si>
  <si>
    <t xml:space="preserve">CAC do frio (R$)</t>
  </si>
  <si>
    <t xml:space="preserve">CAC frio vs teto</t>
  </si>
  <si>
    <t xml:space="preserve">Carrinho não comprou</t>
  </si>
  <si>
    <t xml:space="preserve">Vendas (remarketing)</t>
  </si>
  <si>
    <t xml:space="preserve">Vendas totais</t>
  </si>
  <si>
    <t xml:space="preserve">Verba de remarketing (tiers distintos)</t>
  </si>
  <si>
    <t xml:space="preserve">Tier checkout</t>
  </si>
  <si>
    <t xml:space="preserve">Tier carrinho (excl.)</t>
  </si>
  <si>
    <t xml:space="preserve">Tier viu preço (excl.)</t>
  </si>
  <si>
    <t xml:space="preserve">Tier LP (excl.)</t>
  </si>
  <si>
    <t xml:space="preserve">Verba intenção — preço+carr+check (R$)</t>
  </si>
  <si>
    <t xml:space="preserve">Verba LP (R$)</t>
  </si>
  <si>
    <t xml:space="preserve">Verba remarketing total (R$)</t>
  </si>
  <si>
    <t xml:space="preserve">Resultado</t>
  </si>
  <si>
    <t xml:space="preserve">Custo total — frio + rmk (R$)</t>
  </si>
  <si>
    <t xml:space="preserve">CAC combinado (R$)</t>
  </si>
  <si>
    <t xml:space="preserve">Split frio</t>
  </si>
  <si>
    <t xml:space="preserve">Split remarketing</t>
  </si>
  <si>
    <t xml:space="preserve">Receita de front (R$)</t>
  </si>
  <si>
    <t xml:space="preserve">Resultado no front — receita − mídia (R$)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</si>
</sst>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&quot;R$ &quot;#,##0"/>
    <numFmt numFmtId="167" formatCode="0.0\%"/>
    <numFmt numFmtId="168" formatCode="#,##0.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8887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7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6.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1000</v>
      </c>
    </row>
    <row r="6" customFormat="false" ht="15" hidden="false" customHeight="false" outlineLevel="0" collapsed="false">
      <c r="A6" s="4" t="s">
        <v>4</v>
      </c>
      <c r="B6" s="6" t="n">
        <v>32</v>
      </c>
      <c r="C6" s="7" t="s">
        <v>5</v>
      </c>
    </row>
    <row r="7" customFormat="false" ht="15" hidden="false" customHeight="false" outlineLevel="0" collapsed="false">
      <c r="A7" s="4" t="s">
        <v>6</v>
      </c>
      <c r="B7" s="8" t="n">
        <v>1</v>
      </c>
      <c r="C7" s="7" t="s">
        <v>5</v>
      </c>
    </row>
    <row r="8" customFormat="false" ht="15" hidden="false" customHeight="false" outlineLevel="0" collapsed="false">
      <c r="A8" s="4" t="s">
        <v>7</v>
      </c>
      <c r="B8" s="8" t="n">
        <v>78</v>
      </c>
    </row>
    <row r="10" customFormat="false" ht="19.5" hidden="false" customHeight="true" outlineLevel="0" collapsed="false">
      <c r="A10" s="3" t="s">
        <v>8</v>
      </c>
      <c r="B10" s="3"/>
      <c r="C10" s="3"/>
    </row>
    <row r="11" customFormat="false" ht="15" hidden="false" customHeight="false" outlineLevel="0" collapsed="false">
      <c r="A11" s="4" t="s">
        <v>9</v>
      </c>
      <c r="B11" s="8" t="n">
        <v>15</v>
      </c>
      <c r="C11" s="7" t="s">
        <v>10</v>
      </c>
    </row>
    <row r="12" customFormat="false" ht="15" hidden="false" customHeight="false" outlineLevel="0" collapsed="false">
      <c r="A12" s="4" t="s">
        <v>11</v>
      </c>
      <c r="B12" s="8" t="n">
        <v>3</v>
      </c>
      <c r="C12" s="7" t="s">
        <v>12</v>
      </c>
    </row>
    <row r="13" customFormat="false" ht="15" hidden="false" customHeight="false" outlineLevel="0" collapsed="false">
      <c r="A13" s="4" t="s">
        <v>13</v>
      </c>
      <c r="B13" s="8" t="n">
        <v>12.5</v>
      </c>
      <c r="C13" s="7" t="s">
        <v>14</v>
      </c>
    </row>
    <row r="14" customFormat="false" ht="15" hidden="false" customHeight="false" outlineLevel="0" collapsed="false">
      <c r="A14" s="4" t="s">
        <v>15</v>
      </c>
      <c r="B14" s="8" t="n">
        <v>40</v>
      </c>
      <c r="C14" s="7" t="s">
        <v>16</v>
      </c>
    </row>
    <row r="16" customFormat="false" ht="19.5" hidden="false" customHeight="true" outlineLevel="0" collapsed="false">
      <c r="A16" s="3" t="s">
        <v>17</v>
      </c>
      <c r="B16" s="3"/>
      <c r="C16" s="3"/>
    </row>
    <row r="17" customFormat="false" ht="15" hidden="false" customHeight="false" outlineLevel="0" collapsed="false">
      <c r="A17" s="4" t="s">
        <v>18</v>
      </c>
      <c r="B17" s="6" t="n">
        <v>950</v>
      </c>
    </row>
    <row r="18" customFormat="false" ht="15" hidden="false" customHeight="false" outlineLevel="0" collapsed="false">
      <c r="A18" s="4" t="s">
        <v>19</v>
      </c>
      <c r="B18" s="6" t="n">
        <v>950</v>
      </c>
      <c r="C18" s="7" t="s">
        <v>20</v>
      </c>
    </row>
    <row r="19" customFormat="false" ht="15" hidden="false" customHeight="false" outlineLevel="0" collapsed="false">
      <c r="A19" s="4" t="s">
        <v>21</v>
      </c>
      <c r="B19" s="6" t="n">
        <v>40</v>
      </c>
    </row>
    <row r="20" customFormat="false" ht="15" hidden="false" customHeight="false" outlineLevel="0" collapsed="false">
      <c r="A20" s="4" t="s">
        <v>22</v>
      </c>
      <c r="B20" s="5" t="n">
        <v>6</v>
      </c>
    </row>
    <row r="21" customFormat="false" ht="15" hidden="false" customHeight="false" outlineLevel="0" collapsed="false">
      <c r="A21" s="4" t="s">
        <v>23</v>
      </c>
      <c r="B21" s="8" t="n">
        <v>10</v>
      </c>
      <c r="C21" s="7" t="s">
        <v>24</v>
      </c>
    </row>
    <row r="23" customFormat="false" ht="19.5" hidden="false" customHeight="true" outlineLevel="0" collapsed="false">
      <c r="A23" s="3" t="s">
        <v>25</v>
      </c>
      <c r="B23" s="3"/>
      <c r="C23" s="3"/>
    </row>
    <row r="24" customFormat="false" ht="15" hidden="false" customHeight="false" outlineLevel="0" collapsed="false">
      <c r="A24" s="4" t="s">
        <v>26</v>
      </c>
      <c r="B24" s="9" t="n">
        <f aca="false">B5/(B8/100)</f>
        <v>1282.05128205128</v>
      </c>
    </row>
    <row r="25" customFormat="false" ht="15" hidden="false" customHeight="false" outlineLevel="0" collapsed="false">
      <c r="A25" s="4" t="s">
        <v>27</v>
      </c>
      <c r="B25" s="9" t="n">
        <f aca="false">B24/(B7/100)</f>
        <v>128205.128205128</v>
      </c>
    </row>
    <row r="26" customFormat="false" ht="15" hidden="false" customHeight="false" outlineLevel="0" collapsed="false">
      <c r="A26" s="4" t="s">
        <v>28</v>
      </c>
      <c r="B26" s="10" t="n">
        <f aca="false">B25/1000*B6</f>
        <v>4102.5641025641</v>
      </c>
    </row>
    <row r="27" customFormat="false" ht="15" hidden="false" customHeight="false" outlineLevel="0" collapsed="false">
      <c r="A27" s="4" t="s">
        <v>29</v>
      </c>
      <c r="B27" s="11" t="n">
        <f aca="false">IFERROR(B26/B5,0)</f>
        <v>4.1025641025641</v>
      </c>
    </row>
    <row r="29" customFormat="false" ht="19.5" hidden="false" customHeight="true" outlineLevel="0" collapsed="false">
      <c r="A29" s="3" t="s">
        <v>30</v>
      </c>
      <c r="B29" s="3"/>
      <c r="C29" s="3"/>
    </row>
    <row r="30" customFormat="false" ht="15" hidden="false" customHeight="false" outlineLevel="0" collapsed="false">
      <c r="A30" s="4" t="s">
        <v>31</v>
      </c>
      <c r="B30" s="12" t="n">
        <f aca="false">B5</f>
        <v>1000</v>
      </c>
    </row>
    <row r="31" customFormat="false" ht="15" hidden="false" customHeight="false" outlineLevel="0" collapsed="false">
      <c r="A31" s="4" t="s">
        <v>32</v>
      </c>
      <c r="B31" s="12" t="n">
        <f aca="false">B5*B11/100</f>
        <v>150</v>
      </c>
    </row>
    <row r="32" customFormat="false" ht="15" hidden="false" customHeight="false" outlineLevel="0" collapsed="false">
      <c r="A32" s="4" t="s">
        <v>33</v>
      </c>
      <c r="B32" s="12" t="n">
        <f aca="false">B5*B12/100</f>
        <v>30</v>
      </c>
    </row>
    <row r="33" customFormat="false" ht="15" hidden="false" customHeight="false" outlineLevel="0" collapsed="false">
      <c r="A33" s="4" t="s">
        <v>34</v>
      </c>
      <c r="B33" s="12" t="n">
        <f aca="false">B32*B13/100</f>
        <v>3.75</v>
      </c>
    </row>
    <row r="35" customFormat="false" ht="19.5" hidden="false" customHeight="true" outlineLevel="0" collapsed="false">
      <c r="A35" s="3" t="s">
        <v>35</v>
      </c>
      <c r="B35" s="3"/>
      <c r="C35" s="3"/>
    </row>
    <row r="36" customFormat="false" ht="15" hidden="false" customHeight="false" outlineLevel="0" collapsed="false">
      <c r="A36" s="4" t="s">
        <v>36</v>
      </c>
      <c r="B36" s="12" t="n">
        <f aca="false">B33*B14/100</f>
        <v>1.5</v>
      </c>
    </row>
    <row r="37" customFormat="false" ht="15" hidden="false" customHeight="false" outlineLevel="0" collapsed="false">
      <c r="A37" s="4" t="s">
        <v>37</v>
      </c>
      <c r="B37" s="10" t="n">
        <f aca="false">IFERROR(B26/B36,0)</f>
        <v>2735.04273504274</v>
      </c>
    </row>
    <row r="38" customFormat="false" ht="15" hidden="false" customHeight="false" outlineLevel="0" collapsed="false">
      <c r="A38" s="4" t="s">
        <v>38</v>
      </c>
      <c r="B38" s="13" t="str">
        <f aca="false">IF(B36=0,"sem venda",IF(B37&lt;=B18,"dentro do teto","acima do teto"))</f>
        <v>acima do teto</v>
      </c>
    </row>
    <row r="39" customFormat="false" ht="15" hidden="false" customHeight="false" outlineLevel="0" collapsed="false">
      <c r="A39" s="4" t="s">
        <v>39</v>
      </c>
      <c r="B39" s="12" t="n">
        <f aca="false">MAX(B32-B36,0)</f>
        <v>28.5</v>
      </c>
    </row>
    <row r="40" customFormat="false" ht="15" hidden="false" customHeight="false" outlineLevel="0" collapsed="false">
      <c r="A40" s="4" t="s">
        <v>40</v>
      </c>
      <c r="B40" s="12" t="n">
        <f aca="false">B39*B21/100</f>
        <v>2.85</v>
      </c>
    </row>
    <row r="41" customFormat="false" ht="15" hidden="false" customHeight="false" outlineLevel="0" collapsed="false">
      <c r="A41" s="4" t="s">
        <v>41</v>
      </c>
      <c r="B41" s="14" t="n">
        <f aca="false">B36+B40</f>
        <v>4.35</v>
      </c>
    </row>
    <row r="43" customFormat="false" ht="19.5" hidden="false" customHeight="true" outlineLevel="0" collapsed="false">
      <c r="A43" s="3" t="s">
        <v>42</v>
      </c>
      <c r="B43" s="3"/>
      <c r="C43" s="3"/>
    </row>
    <row r="44" customFormat="false" ht="15" hidden="false" customHeight="false" outlineLevel="0" collapsed="false">
      <c r="A44" s="4" t="s">
        <v>43</v>
      </c>
      <c r="B44" s="12" t="n">
        <f aca="false">B33</f>
        <v>3.75</v>
      </c>
    </row>
    <row r="45" customFormat="false" ht="15" hidden="false" customHeight="false" outlineLevel="0" collapsed="false">
      <c r="A45" s="4" t="s">
        <v>44</v>
      </c>
      <c r="B45" s="12" t="n">
        <f aca="false">MAX(B32-B33,0)</f>
        <v>26.25</v>
      </c>
    </row>
    <row r="46" customFormat="false" ht="15" hidden="false" customHeight="false" outlineLevel="0" collapsed="false">
      <c r="A46" s="4" t="s">
        <v>45</v>
      </c>
      <c r="B46" s="12" t="n">
        <f aca="false">MAX(B31-B32,0)</f>
        <v>120</v>
      </c>
    </row>
    <row r="47" customFormat="false" ht="15" hidden="false" customHeight="false" outlineLevel="0" collapsed="false">
      <c r="A47" s="4" t="s">
        <v>46</v>
      </c>
      <c r="B47" s="12" t="n">
        <f aca="false">MAX(B30-B31,0)</f>
        <v>850</v>
      </c>
    </row>
    <row r="48" customFormat="false" ht="15" hidden="false" customHeight="false" outlineLevel="0" collapsed="false">
      <c r="A48" s="4" t="s">
        <v>47</v>
      </c>
      <c r="B48" s="10" t="n">
        <f aca="false">(B44+B45+B46)*B20*B19/1000</f>
        <v>36</v>
      </c>
    </row>
    <row r="49" customFormat="false" ht="15" hidden="false" customHeight="false" outlineLevel="0" collapsed="false">
      <c r="A49" s="4" t="s">
        <v>48</v>
      </c>
      <c r="B49" s="11" t="n">
        <f aca="false">B47*B20*B19/1000</f>
        <v>204</v>
      </c>
    </row>
    <row r="50" customFormat="false" ht="15" hidden="false" customHeight="false" outlineLevel="0" collapsed="false">
      <c r="A50" s="4" t="s">
        <v>49</v>
      </c>
      <c r="B50" s="10" t="n">
        <f aca="false">B48+B49</f>
        <v>240</v>
      </c>
    </row>
    <row r="52" customFormat="false" ht="19.5" hidden="false" customHeight="true" outlineLevel="0" collapsed="false">
      <c r="A52" s="3" t="s">
        <v>50</v>
      </c>
      <c r="B52" s="3"/>
      <c r="C52" s="3"/>
    </row>
    <row r="53" customFormat="false" ht="15" hidden="false" customHeight="false" outlineLevel="0" collapsed="false">
      <c r="A53" s="4" t="s">
        <v>51</v>
      </c>
      <c r="B53" s="10" t="n">
        <f aca="false">B26+B50</f>
        <v>4342.5641025641</v>
      </c>
    </row>
    <row r="54" customFormat="false" ht="15" hidden="false" customHeight="false" outlineLevel="0" collapsed="false">
      <c r="A54" s="4" t="s">
        <v>52</v>
      </c>
      <c r="B54" s="10" t="n">
        <f aca="false">IFERROR(B53/B41,0)</f>
        <v>998.290598290598</v>
      </c>
    </row>
    <row r="55" customFormat="false" ht="15" hidden="false" customHeight="false" outlineLevel="0" collapsed="false">
      <c r="A55" s="4" t="s">
        <v>53</v>
      </c>
      <c r="B55" s="15" t="n">
        <f aca="false">IFERROR(B26/B53,0)</f>
        <v>0.944733112895607</v>
      </c>
    </row>
    <row r="56" customFormat="false" ht="15" hidden="false" customHeight="false" outlineLevel="0" collapsed="false">
      <c r="A56" s="4" t="s">
        <v>54</v>
      </c>
      <c r="B56" s="15" t="n">
        <f aca="false">IFERROR(B50/B53,0)</f>
        <v>0.055266887104393</v>
      </c>
    </row>
    <row r="57" customFormat="false" ht="15" hidden="false" customHeight="false" outlineLevel="0" collapsed="false">
      <c r="A57" s="4" t="s">
        <v>55</v>
      </c>
      <c r="B57" s="11" t="n">
        <f aca="false">B41*B17</f>
        <v>4132.5</v>
      </c>
    </row>
    <row r="58" customFormat="false" ht="15" hidden="false" customHeight="false" outlineLevel="0" collapsed="false">
      <c r="A58" s="4" t="s">
        <v>56</v>
      </c>
      <c r="B58" s="10" t="n">
        <f aca="false">B57-B53</f>
        <v>-210.064102564103</v>
      </c>
    </row>
  </sheetData>
  <mergeCells count="10">
    <mergeCell ref="A1:C1"/>
    <mergeCell ref="A2:C2"/>
    <mergeCell ref="A4:C4"/>
    <mergeCell ref="A10:C10"/>
    <mergeCell ref="A16:C16"/>
    <mergeCell ref="A23:C23"/>
    <mergeCell ref="A29:C29"/>
    <mergeCell ref="A35:C35"/>
    <mergeCell ref="A43:C43"/>
    <mergeCell ref="A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2026-06-18T03:11:25Z</dcterms:created>
  <dc:creator>openpyxl</dc:creator>
  <dc:description/>
  <dc:language>en-US</dc:language>
  <cp:lastModifiedBy/>
  <dcterms:modified xsi:type="dcterms:W3CDTF">2026-06-18T03:11:25Z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